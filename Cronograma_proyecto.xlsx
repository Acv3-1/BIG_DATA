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maestro" sheetId="1" state="visible" r:id="rId3"/>
    <sheet name="Semana 1" sheetId="2" state="visible" r:id="rId4"/>
    <sheet name="Semana 2" sheetId="3" state="visible" r:id="rId5"/>
    <sheet name="Semana 3" sheetId="4" state="visible" r:id="rId6"/>
    <sheet name="Semana 4" sheetId="5" state="visible" r:id="rId7"/>
    <sheet name="Resumen" sheetId="6" state="visible" r:id="rId8"/>
  </sheets>
  <definedNames>
    <definedName function="false" hidden="true" localSheetId="0" name="_xlnm._FilterDatabase" vbProcedure="false">'Cronograma maestro'!$A$4:$H$47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<sst xmlns="http://schemas.openxmlformats.org/spreadsheetml/2006/main" count="494" uniqueCount="105">
  <si>
    <t xml:space="preserve">Cronograma maestro (también lista de Issues)</t>
  </si>
  <si>
    <t xml:space="preserve">Resp.: A / B / C = integrantes del equipo · D1–D7 = día de la semana · Estado: use la lista desplegable</t>
  </si>
  <si>
    <t xml:space="preserve">#</t>
  </si>
  <si>
    <t xml:space="preserve">Semana</t>
  </si>
  <si>
    <t xml:space="preserve">Actividad / Issue</t>
  </si>
  <si>
    <t xml:space="preserve">Resp.</t>
  </si>
  <si>
    <t xml:space="preserve">Componente</t>
  </si>
  <si>
    <t xml:space="preserve">Días</t>
  </si>
  <si>
    <t xml:space="preserve">Estado</t>
  </si>
  <si>
    <t xml:space="preserve">Notas</t>
  </si>
  <si>
    <t xml:space="preserve">Semana 1: Diseño y organización</t>
  </si>
  <si>
    <t xml:space="preserve">Semana 1</t>
  </si>
  <si>
    <t xml:space="preserve">Crear repo, agregar integrantes y dar acceso al docente</t>
  </si>
  <si>
    <t xml:space="preserve">A</t>
  </si>
  <si>
    <t xml:space="preserve">Gestión</t>
  </si>
  <si>
    <t xml:space="preserve">D1</t>
  </si>
  <si>
    <t xml:space="preserve">Pendiente</t>
  </si>
  <si>
    <t xml:space="preserve">Crear GitHub Project (5 columnas y campos) y los 12+ Issues</t>
  </si>
  <si>
    <t xml:space="preserve">D1–D2</t>
  </si>
  <si>
    <t xml:space="preserve">Definir arquitectura de la variante y diagrama</t>
  </si>
  <si>
    <t xml:space="preserve">B</t>
  </si>
  <si>
    <t xml:space="preserve">Arquitectura</t>
  </si>
  <si>
    <t xml:space="preserve">D2–D3</t>
  </si>
  <si>
    <t xml:space="preserve">Contrato JSON del evento y ejemplo en samples/</t>
  </si>
  <si>
    <t xml:space="preserve">C</t>
  </si>
  <si>
    <t xml:space="preserve">Datos</t>
  </si>
  <si>
    <t xml:space="preserve">Definir 3 KPIs (stockouts, picking promedio, pedidos incompletos)</t>
  </si>
  <si>
    <t xml:space="preserve">KPIs</t>
  </si>
  <si>
    <t xml:space="preserve">D3</t>
  </si>
  <si>
    <t xml:space="preserve">Definir 2 alertas con umbrales iniciales (stock crítico, picking fuera de tiempo)</t>
  </si>
  <si>
    <t xml:space="preserve">Alertas</t>
  </si>
  <si>
    <t xml:space="preserve">Topic, key y particiones de Kafka con justificación</t>
  </si>
  <si>
    <t xml:space="preserve">Kafka</t>
  </si>
  <si>
    <t xml:space="preserve">D3–D4</t>
  </si>
  <si>
    <t xml:space="preserve">Estructura del repo y docker-compose.yml preliminar</t>
  </si>
  <si>
    <t xml:space="preserve">Infra</t>
  </si>
  <si>
    <t xml:space="preserve">D4</t>
  </si>
  <si>
    <t xml:space="preserve">README inicial</t>
  </si>
  <si>
    <t xml:space="preserve">Docs</t>
  </si>
  <si>
    <t xml:space="preserve">D4–D5</t>
  </si>
  <si>
    <t xml:space="preserve">ADR-001 (key/particiones)</t>
  </si>
  <si>
    <t xml:space="preserve">A y C</t>
  </si>
  <si>
    <t xml:space="preserve">D5</t>
  </si>
  <si>
    <t xml:space="preserve">semana1.md, revisión cruzada y release v0.1.0-foundation</t>
  </si>
  <si>
    <t xml:space="preserve">Todos</t>
  </si>
  <si>
    <t xml:space="preserve">D6–D7</t>
  </si>
  <si>
    <t xml:space="preserve">Semana 2: Pipeline funcional y CI</t>
  </si>
  <si>
    <t xml:space="preserve">Semana 2</t>
  </si>
  <si>
    <t xml:space="preserve">Producer de eventos de inventario y picking, identificables por equipo</t>
  </si>
  <si>
    <t xml:space="preserve">Producer</t>
  </si>
  <si>
    <t xml:space="preserve">Kafka con varias particiones y key implementada en Docker</t>
  </si>
  <si>
    <t xml:space="preserve">Spark Structured Streaming: consumo y parseo de eventos</t>
  </si>
  <si>
    <t xml:space="preserve">Spark</t>
  </si>
  <si>
    <t xml:space="preserve">3 transformaciones y 1 agregación por ventana (picking promedio por tienda)</t>
  </si>
  <si>
    <t xml:space="preserve">Implementar las 2 reglas de alerta</t>
  </si>
  <si>
    <t xml:space="preserve">Persistencia en Parquet con checkpoint (Raw → Processed → Curated)</t>
  </si>
  <si>
    <t xml:space="preserve">Data Lake</t>
  </si>
  <si>
    <t xml:space="preserve">Pruebas en tests/ (contrato del evento y reglas)</t>
  </si>
  <si>
    <t xml:space="preserve">Pruebas</t>
  </si>
  <si>
    <t xml:space="preserve">ci.yml (push, pull_request, workflow_dispatch)</t>
  </si>
  <si>
    <t xml:space="preserve">CI</t>
  </si>
  <si>
    <t xml:space="preserve">D3–D5</t>
  </si>
  <si>
    <t xml:space="preserve">Ejecutar, observar valores reales y ajustar umbrales</t>
  </si>
  <si>
    <t xml:space="preserve">Calibración</t>
  </si>
  <si>
    <t xml:space="preserve">D5–D6</t>
  </si>
  <si>
    <t xml:space="preserve">ADR-002 (decisión basada en la ejecución) y semana2.md</t>
  </si>
  <si>
    <t xml:space="preserve">D6</t>
  </si>
  <si>
    <t xml:space="preserve">Revisión cruzada de PRs y release v0.2.0-streaming</t>
  </si>
  <si>
    <t xml:space="preserve">Release</t>
  </si>
  <si>
    <t xml:space="preserve">D7</t>
  </si>
  <si>
    <t xml:space="preserve">Semana 3: Airflow, calidad y resiliencia</t>
  </si>
  <si>
    <t xml:space="preserve">Semana 3</t>
  </si>
  <si>
    <t xml:space="preserve">Airflow en Docker y DAG base con mínimo 5 tasks</t>
  </si>
  <si>
    <t xml:space="preserve">Airflow</t>
  </si>
  <si>
    <t xml:space="preserve">Tasks con dependencias, retries y XCom</t>
  </si>
  <si>
    <t xml:space="preserve">Task de validación de fuentes y calidad (nulos, stock negativo, SKU inválido)</t>
  </si>
  <si>
    <t xml:space="preserve">Calidad</t>
  </si>
  <si>
    <t xml:space="preserve">D2–D4</t>
  </si>
  <si>
    <t xml:space="preserve">Task de agregación de KPIs y de reporte de salida</t>
  </si>
  <si>
    <t xml:space="preserve">Fallo controlado y documentación de la recuperación</t>
  </si>
  <si>
    <t xml:space="preserve">B y C</t>
  </si>
  <si>
    <t xml:space="preserve">Resiliencia</t>
  </si>
  <si>
    <t xml:space="preserve">Ampliar CI: importar/validar el DAG y pruebas de reglas de negocio</t>
  </si>
  <si>
    <t xml:space="preserve">ADR-003 (orquestación/recuperación) y semana3.md con el log real</t>
  </si>
  <si>
    <t xml:space="preserve">Revisión cruzada y release v0.3.0-orchestration</t>
  </si>
  <si>
    <t xml:space="preserve">Semana 4: Integración y release final</t>
  </si>
  <si>
    <t xml:space="preserve">Semana 4</t>
  </si>
  <si>
    <t xml:space="preserve">Integrar y estabilizar el pipeline completo (Docker → Kafka → Spark → Lake → Airflow)</t>
  </si>
  <si>
    <t xml:space="preserve">Integración</t>
  </si>
  <si>
    <t xml:space="preserve">D1–D3</t>
  </si>
  <si>
    <t xml:space="preserve">Quality gate completo en CI y, si se implementa, release.yml</t>
  </si>
  <si>
    <t xml:space="preserve">Pruebas finales y ajuste final de umbrales</t>
  </si>
  <si>
    <t xml:space="preserve">Cerrar o justificar los Issues pendientes y ordenar el Kanban</t>
  </si>
  <si>
    <t xml:space="preserve">README final (los 12 puntos obligatorios y tabla de contribuciones)</t>
  </si>
  <si>
    <t xml:space="preserve">workflow_dispatch: cada integrante lo ejecuta una vez</t>
  </si>
  <si>
    <t xml:space="preserve">Guion y ensayo del video</t>
  </si>
  <si>
    <t xml:space="preserve">Video</t>
  </si>
  <si>
    <t xml:space="preserve">Grabación del video (máx. 10 min) y enlace en el README</t>
  </si>
  <si>
    <t xml:space="preserve">CI en verde, tag y GitHub Release v1.0.0</t>
  </si>
  <si>
    <t xml:space="preserve">Avance de la semana</t>
  </si>
  <si>
    <t xml:space="preserve">Resumen por semana y responsable</t>
  </si>
  <si>
    <t xml:space="preserve">Total</t>
  </si>
  <si>
    <t xml:space="preserve">Hechas</t>
  </si>
  <si>
    <t xml:space="preserve">% avance</t>
  </si>
  <si>
    <t xml:space="preserve">Nota: las columnas A, B y C cuentan también las actividades compartidas (p. ej. 'A y C'); 'Todos' cuenta solo las de todo el equipo.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</si>
</sst>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B45F06"/>
      <name val="Arial"/>
      <family val="0"/>
      <charset val="1"/>
    </font>
    <font>
      <b val="true"/>
      <sz val="14"/>
      <color rgb="FF7B1FA2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1F4E79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B45F06"/>
        <bgColor rgb="FF808000"/>
      </patternFill>
    </fill>
    <fill>
      <patternFill patternType="solid">
        <fgColor rgb="FF7B1FA2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93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1FA2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B45F06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5" t="s">
        <v>11</v>
      </c>
      <c r="C6" s="6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/>
    </row>
    <row r="7" customFormat="false" ht="15" hidden="false" customHeight="false" outlineLevel="0" collapsed="false">
      <c r="A7" s="5" t="n">
        <v>2</v>
      </c>
      <c r="B7" s="5" t="s">
        <v>11</v>
      </c>
      <c r="C7" s="6" t="s">
        <v>17</v>
      </c>
      <c r="D7" s="5" t="s">
        <v>13</v>
      </c>
      <c r="E7" s="5" t="s">
        <v>14</v>
      </c>
      <c r="F7" s="5" t="s">
        <v>18</v>
      </c>
      <c r="G7" s="5" t="s">
        <v>16</v>
      </c>
      <c r="H7" s="5"/>
    </row>
    <row r="8" customFormat="false" ht="15" hidden="false" customHeight="false" outlineLevel="0" collapsed="false">
      <c r="A8" s="5" t="n">
        <v>3</v>
      </c>
      <c r="B8" s="5" t="s">
        <v>11</v>
      </c>
      <c r="C8" s="6" t="s">
        <v>19</v>
      </c>
      <c r="D8" s="5" t="s">
        <v>20</v>
      </c>
      <c r="E8" s="5" t="s">
        <v>21</v>
      </c>
      <c r="F8" s="5" t="s">
        <v>22</v>
      </c>
      <c r="G8" s="5" t="s">
        <v>16</v>
      </c>
      <c r="H8" s="5"/>
    </row>
    <row r="9" customFormat="false" ht="15" hidden="false" customHeight="false" outlineLevel="0" collapsed="false">
      <c r="A9" s="5" t="n">
        <v>4</v>
      </c>
      <c r="B9" s="5" t="s">
        <v>11</v>
      </c>
      <c r="C9" s="6" t="s">
        <v>23</v>
      </c>
      <c r="D9" s="5" t="s">
        <v>24</v>
      </c>
      <c r="E9" s="5" t="s">
        <v>25</v>
      </c>
      <c r="F9" s="5" t="s">
        <v>22</v>
      </c>
      <c r="G9" s="5" t="s">
        <v>16</v>
      </c>
      <c r="H9" s="5"/>
    </row>
    <row r="10" customFormat="false" ht="15" hidden="false" customHeight="false" outlineLevel="0" collapsed="false">
      <c r="A10" s="5" t="n">
        <v>5</v>
      </c>
      <c r="B10" s="5" t="s">
        <v>11</v>
      </c>
      <c r="C10" s="6" t="s">
        <v>26</v>
      </c>
      <c r="D10" s="5" t="s">
        <v>20</v>
      </c>
      <c r="E10" s="5" t="s">
        <v>27</v>
      </c>
      <c r="F10" s="5" t="s">
        <v>28</v>
      </c>
      <c r="G10" s="5" t="s">
        <v>16</v>
      </c>
      <c r="H10" s="5"/>
    </row>
    <row r="11" customFormat="false" ht="15" hidden="false" customHeight="false" outlineLevel="0" collapsed="false">
      <c r="A11" s="5" t="n">
        <v>6</v>
      </c>
      <c r="B11" s="5" t="s">
        <v>11</v>
      </c>
      <c r="C11" s="6" t="s">
        <v>29</v>
      </c>
      <c r="D11" s="5" t="s">
        <v>24</v>
      </c>
      <c r="E11" s="5" t="s">
        <v>30</v>
      </c>
      <c r="F11" s="5" t="s">
        <v>28</v>
      </c>
      <c r="G11" s="5" t="s">
        <v>16</v>
      </c>
      <c r="H11" s="5"/>
    </row>
    <row r="12" customFormat="false" ht="15" hidden="false" customHeight="false" outlineLevel="0" collapsed="false">
      <c r="A12" s="5" t="n">
        <v>7</v>
      </c>
      <c r="B12" s="5" t="s">
        <v>11</v>
      </c>
      <c r="C12" s="6" t="s">
        <v>31</v>
      </c>
      <c r="D12" s="5" t="s">
        <v>13</v>
      </c>
      <c r="E12" s="5" t="s">
        <v>32</v>
      </c>
      <c r="F12" s="5" t="s">
        <v>33</v>
      </c>
      <c r="G12" s="5" t="s">
        <v>16</v>
      </c>
      <c r="H12" s="5"/>
    </row>
    <row r="13" customFormat="false" ht="15" hidden="false" customHeight="false" outlineLevel="0" collapsed="false">
      <c r="A13" s="5" t="n">
        <v>8</v>
      </c>
      <c r="B13" s="5" t="s">
        <v>11</v>
      </c>
      <c r="C13" s="6" t="s">
        <v>34</v>
      </c>
      <c r="D13" s="5" t="s">
        <v>13</v>
      </c>
      <c r="E13" s="5" t="s">
        <v>35</v>
      </c>
      <c r="F13" s="5" t="s">
        <v>36</v>
      </c>
      <c r="G13" s="5" t="s">
        <v>16</v>
      </c>
      <c r="H13" s="5"/>
    </row>
    <row r="14" customFormat="false" ht="15" hidden="false" customHeight="false" outlineLevel="0" collapsed="false">
      <c r="A14" s="5" t="n">
        <v>9</v>
      </c>
      <c r="B14" s="5" t="s">
        <v>11</v>
      </c>
      <c r="C14" s="6" t="s">
        <v>37</v>
      </c>
      <c r="D14" s="5" t="s">
        <v>20</v>
      </c>
      <c r="E14" s="5" t="s">
        <v>38</v>
      </c>
      <c r="F14" s="5" t="s">
        <v>39</v>
      </c>
      <c r="G14" s="5" t="s">
        <v>16</v>
      </c>
      <c r="H14" s="5"/>
    </row>
    <row r="15" customFormat="false" ht="15" hidden="false" customHeight="false" outlineLevel="0" collapsed="false">
      <c r="A15" s="5" t="n">
        <v>10</v>
      </c>
      <c r="B15" s="5" t="s">
        <v>11</v>
      </c>
      <c r="C15" s="6" t="s">
        <v>40</v>
      </c>
      <c r="D15" s="5" t="s">
        <v>41</v>
      </c>
      <c r="E15" s="5" t="s">
        <v>38</v>
      </c>
      <c r="F15" s="5" t="s">
        <v>42</v>
      </c>
      <c r="G15" s="5" t="s">
        <v>16</v>
      </c>
      <c r="H15" s="5"/>
    </row>
    <row r="16" customFormat="false" ht="15" hidden="false" customHeight="false" outlineLevel="0" collapsed="false">
      <c r="A16" s="5" t="n">
        <v>11</v>
      </c>
      <c r="B16" s="5" t="s">
        <v>11</v>
      </c>
      <c r="C16" s="6" t="s">
        <v>43</v>
      </c>
      <c r="D16" s="5" t="s">
        <v>44</v>
      </c>
      <c r="E16" s="5" t="s">
        <v>38</v>
      </c>
      <c r="F16" s="5" t="s">
        <v>45</v>
      </c>
      <c r="G16" s="5" t="s">
        <v>16</v>
      </c>
      <c r="H16" s="5"/>
    </row>
    <row r="17" customFormat="false" ht="15" hidden="false" customHeight="false" outlineLevel="0" collapsed="false">
      <c r="A17" s="7" t="s">
        <v>46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5" t="n">
        <v>12</v>
      </c>
      <c r="B18" s="5" t="s">
        <v>47</v>
      </c>
      <c r="C18" s="6" t="s">
        <v>48</v>
      </c>
      <c r="D18" s="5" t="s">
        <v>13</v>
      </c>
      <c r="E18" s="5" t="s">
        <v>49</v>
      </c>
      <c r="F18" s="5" t="s">
        <v>18</v>
      </c>
      <c r="G18" s="5" t="s">
        <v>16</v>
      </c>
      <c r="H18" s="5"/>
    </row>
    <row r="19" customFormat="false" ht="15" hidden="false" customHeight="false" outlineLevel="0" collapsed="false">
      <c r="A19" s="5" t="n">
        <v>13</v>
      </c>
      <c r="B19" s="5" t="s">
        <v>47</v>
      </c>
      <c r="C19" s="6" t="s">
        <v>50</v>
      </c>
      <c r="D19" s="5" t="s">
        <v>13</v>
      </c>
      <c r="E19" s="5" t="s">
        <v>32</v>
      </c>
      <c r="F19" s="5" t="s">
        <v>18</v>
      </c>
      <c r="G19" s="5" t="s">
        <v>16</v>
      </c>
      <c r="H19" s="5"/>
    </row>
    <row r="20" customFormat="false" ht="15" hidden="false" customHeight="false" outlineLevel="0" collapsed="false">
      <c r="A20" s="5" t="n">
        <v>14</v>
      </c>
      <c r="B20" s="5" t="s">
        <v>47</v>
      </c>
      <c r="C20" s="6" t="s">
        <v>51</v>
      </c>
      <c r="D20" s="5" t="s">
        <v>20</v>
      </c>
      <c r="E20" s="5" t="s">
        <v>52</v>
      </c>
      <c r="F20" s="5" t="s">
        <v>22</v>
      </c>
      <c r="G20" s="5" t="s">
        <v>16</v>
      </c>
      <c r="H20" s="5"/>
    </row>
    <row r="21" customFormat="false" ht="15" hidden="false" customHeight="false" outlineLevel="0" collapsed="false">
      <c r="A21" s="5" t="n">
        <v>15</v>
      </c>
      <c r="B21" s="5" t="s">
        <v>47</v>
      </c>
      <c r="C21" s="6" t="s">
        <v>53</v>
      </c>
      <c r="D21" s="5" t="s">
        <v>20</v>
      </c>
      <c r="E21" s="5" t="s">
        <v>52</v>
      </c>
      <c r="F21" s="5" t="s">
        <v>33</v>
      </c>
      <c r="G21" s="5" t="s">
        <v>16</v>
      </c>
      <c r="H21" s="5"/>
    </row>
    <row r="22" customFormat="false" ht="15" hidden="false" customHeight="false" outlineLevel="0" collapsed="false">
      <c r="A22" s="5" t="n">
        <v>16</v>
      </c>
      <c r="B22" s="5" t="s">
        <v>47</v>
      </c>
      <c r="C22" s="6" t="s">
        <v>54</v>
      </c>
      <c r="D22" s="5" t="s">
        <v>24</v>
      </c>
      <c r="E22" s="5" t="s">
        <v>30</v>
      </c>
      <c r="F22" s="5" t="s">
        <v>33</v>
      </c>
      <c r="G22" s="5" t="s">
        <v>16</v>
      </c>
      <c r="H22" s="5"/>
    </row>
    <row r="23" customFormat="false" ht="15" hidden="false" customHeight="false" outlineLevel="0" collapsed="false">
      <c r="A23" s="5" t="n">
        <v>17</v>
      </c>
      <c r="B23" s="5" t="s">
        <v>47</v>
      </c>
      <c r="C23" s="6" t="s">
        <v>55</v>
      </c>
      <c r="D23" s="5" t="s">
        <v>24</v>
      </c>
      <c r="E23" s="5" t="s">
        <v>56</v>
      </c>
      <c r="F23" s="5" t="s">
        <v>39</v>
      </c>
      <c r="G23" s="5" t="s">
        <v>16</v>
      </c>
      <c r="H23" s="5"/>
    </row>
    <row r="24" customFormat="false" ht="15" hidden="false" customHeight="false" outlineLevel="0" collapsed="false">
      <c r="A24" s="5" t="n">
        <v>18</v>
      </c>
      <c r="B24" s="5" t="s">
        <v>47</v>
      </c>
      <c r="C24" s="6" t="s">
        <v>57</v>
      </c>
      <c r="D24" s="5" t="s">
        <v>24</v>
      </c>
      <c r="E24" s="5" t="s">
        <v>58</v>
      </c>
      <c r="F24" s="5" t="s">
        <v>39</v>
      </c>
      <c r="G24" s="5" t="s">
        <v>16</v>
      </c>
      <c r="H24" s="5"/>
    </row>
    <row r="25" customFormat="false" ht="15" hidden="false" customHeight="false" outlineLevel="0" collapsed="false">
      <c r="A25" s="5" t="n">
        <v>19</v>
      </c>
      <c r="B25" s="5" t="s">
        <v>47</v>
      </c>
      <c r="C25" s="6" t="s">
        <v>59</v>
      </c>
      <c r="D25" s="5" t="s">
        <v>13</v>
      </c>
      <c r="E25" s="5" t="s">
        <v>60</v>
      </c>
      <c r="F25" s="5" t="s">
        <v>61</v>
      </c>
      <c r="G25" s="5" t="s">
        <v>16</v>
      </c>
      <c r="H25" s="5"/>
    </row>
    <row r="26" customFormat="false" ht="15" hidden="false" customHeight="false" outlineLevel="0" collapsed="false">
      <c r="A26" s="5" t="n">
        <v>20</v>
      </c>
      <c r="B26" s="5" t="s">
        <v>47</v>
      </c>
      <c r="C26" s="6" t="s">
        <v>62</v>
      </c>
      <c r="D26" s="5" t="s">
        <v>44</v>
      </c>
      <c r="E26" s="5" t="s">
        <v>63</v>
      </c>
      <c r="F26" s="5" t="s">
        <v>64</v>
      </c>
      <c r="G26" s="5" t="s">
        <v>16</v>
      </c>
      <c r="H26" s="5"/>
    </row>
    <row r="27" customFormat="false" ht="15" hidden="false" customHeight="false" outlineLevel="0" collapsed="false">
      <c r="A27" s="5" t="n">
        <v>21</v>
      </c>
      <c r="B27" s="5" t="s">
        <v>47</v>
      </c>
      <c r="C27" s="6" t="s">
        <v>65</v>
      </c>
      <c r="D27" s="5" t="s">
        <v>44</v>
      </c>
      <c r="E27" s="5" t="s">
        <v>38</v>
      </c>
      <c r="F27" s="5" t="s">
        <v>66</v>
      </c>
      <c r="G27" s="5" t="s">
        <v>16</v>
      </c>
      <c r="H27" s="5"/>
    </row>
    <row r="28" customFormat="false" ht="15" hidden="false" customHeight="false" outlineLevel="0" collapsed="false">
      <c r="A28" s="5" t="n">
        <v>22</v>
      </c>
      <c r="B28" s="5" t="s">
        <v>47</v>
      </c>
      <c r="C28" s="6" t="s">
        <v>67</v>
      </c>
      <c r="D28" s="5" t="s">
        <v>44</v>
      </c>
      <c r="E28" s="5" t="s">
        <v>68</v>
      </c>
      <c r="F28" s="5" t="s">
        <v>69</v>
      </c>
      <c r="G28" s="5" t="s">
        <v>16</v>
      </c>
      <c r="H28" s="5"/>
    </row>
    <row r="29" customFormat="false" ht="15" hidden="false" customHeight="false" outlineLevel="0" collapsed="false">
      <c r="A29" s="8" t="s">
        <v>70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5" t="n">
        <v>23</v>
      </c>
      <c r="B30" s="5" t="s">
        <v>71</v>
      </c>
      <c r="C30" s="6" t="s">
        <v>72</v>
      </c>
      <c r="D30" s="5" t="s">
        <v>13</v>
      </c>
      <c r="E30" s="5" t="s">
        <v>73</v>
      </c>
      <c r="F30" s="5" t="s">
        <v>18</v>
      </c>
      <c r="G30" s="5" t="s">
        <v>16</v>
      </c>
      <c r="H30" s="5"/>
    </row>
    <row r="31" customFormat="false" ht="15" hidden="false" customHeight="false" outlineLevel="0" collapsed="false">
      <c r="A31" s="5" t="n">
        <v>24</v>
      </c>
      <c r="B31" s="5" t="s">
        <v>71</v>
      </c>
      <c r="C31" s="6" t="s">
        <v>74</v>
      </c>
      <c r="D31" s="5" t="s">
        <v>20</v>
      </c>
      <c r="E31" s="5" t="s">
        <v>73</v>
      </c>
      <c r="F31" s="5" t="s">
        <v>22</v>
      </c>
      <c r="G31" s="5" t="s">
        <v>16</v>
      </c>
      <c r="H31" s="5"/>
    </row>
    <row r="32" customFormat="false" ht="15" hidden="false" customHeight="false" outlineLevel="0" collapsed="false">
      <c r="A32" s="5" t="n">
        <v>25</v>
      </c>
      <c r="B32" s="5" t="s">
        <v>71</v>
      </c>
      <c r="C32" s="6" t="s">
        <v>75</v>
      </c>
      <c r="D32" s="5" t="s">
        <v>24</v>
      </c>
      <c r="E32" s="5" t="s">
        <v>76</v>
      </c>
      <c r="F32" s="5" t="s">
        <v>77</v>
      </c>
      <c r="G32" s="5" t="s">
        <v>16</v>
      </c>
      <c r="H32" s="5"/>
    </row>
    <row r="33" customFormat="false" ht="15" hidden="false" customHeight="false" outlineLevel="0" collapsed="false">
      <c r="A33" s="5" t="n">
        <v>26</v>
      </c>
      <c r="B33" s="5" t="s">
        <v>71</v>
      </c>
      <c r="C33" s="6" t="s">
        <v>78</v>
      </c>
      <c r="D33" s="5" t="s">
        <v>20</v>
      </c>
      <c r="E33" s="5" t="s">
        <v>27</v>
      </c>
      <c r="F33" s="5" t="s">
        <v>33</v>
      </c>
      <c r="G33" s="5" t="s">
        <v>16</v>
      </c>
      <c r="H33" s="5"/>
    </row>
    <row r="34" customFormat="false" ht="15" hidden="false" customHeight="false" outlineLevel="0" collapsed="false">
      <c r="A34" s="5" t="n">
        <v>27</v>
      </c>
      <c r="B34" s="5" t="s">
        <v>71</v>
      </c>
      <c r="C34" s="6" t="s">
        <v>79</v>
      </c>
      <c r="D34" s="5" t="s">
        <v>80</v>
      </c>
      <c r="E34" s="5" t="s">
        <v>81</v>
      </c>
      <c r="F34" s="5" t="s">
        <v>39</v>
      </c>
      <c r="G34" s="5" t="s">
        <v>16</v>
      </c>
      <c r="H34" s="5"/>
    </row>
    <row r="35" customFormat="false" ht="15" hidden="false" customHeight="false" outlineLevel="0" collapsed="false">
      <c r="A35" s="5" t="n">
        <v>28</v>
      </c>
      <c r="B35" s="5" t="s">
        <v>71</v>
      </c>
      <c r="C35" s="6" t="s">
        <v>82</v>
      </c>
      <c r="D35" s="5" t="s">
        <v>13</v>
      </c>
      <c r="E35" s="5" t="s">
        <v>60</v>
      </c>
      <c r="F35" s="5" t="s">
        <v>39</v>
      </c>
      <c r="G35" s="5" t="s">
        <v>16</v>
      </c>
      <c r="H35" s="5"/>
    </row>
    <row r="36" customFormat="false" ht="15" hidden="false" customHeight="false" outlineLevel="0" collapsed="false">
      <c r="A36" s="5" t="n">
        <v>29</v>
      </c>
      <c r="B36" s="5" t="s">
        <v>71</v>
      </c>
      <c r="C36" s="6" t="s">
        <v>83</v>
      </c>
      <c r="D36" s="5" t="s">
        <v>44</v>
      </c>
      <c r="E36" s="5" t="s">
        <v>38</v>
      </c>
      <c r="F36" s="5" t="s">
        <v>66</v>
      </c>
      <c r="G36" s="5" t="s">
        <v>16</v>
      </c>
      <c r="H36" s="5"/>
    </row>
    <row r="37" customFormat="false" ht="15" hidden="false" customHeight="false" outlineLevel="0" collapsed="false">
      <c r="A37" s="5" t="n">
        <v>30</v>
      </c>
      <c r="B37" s="5" t="s">
        <v>71</v>
      </c>
      <c r="C37" s="6" t="s">
        <v>84</v>
      </c>
      <c r="D37" s="5" t="s">
        <v>44</v>
      </c>
      <c r="E37" s="5" t="s">
        <v>68</v>
      </c>
      <c r="F37" s="5" t="s">
        <v>69</v>
      </c>
      <c r="G37" s="5" t="s">
        <v>16</v>
      </c>
      <c r="H37" s="5"/>
    </row>
    <row r="38" customFormat="false" ht="15" hidden="false" customHeight="false" outlineLevel="0" collapsed="false">
      <c r="A38" s="9" t="s">
        <v>85</v>
      </c>
      <c r="B38" s="9"/>
      <c r="C38" s="9"/>
      <c r="D38" s="9"/>
      <c r="E38" s="9"/>
      <c r="F38" s="9"/>
      <c r="G38" s="9"/>
      <c r="H38" s="9"/>
    </row>
    <row r="39" customFormat="false" ht="23.85" hidden="false" customHeight="false" outlineLevel="0" collapsed="false">
      <c r="A39" s="5" t="n">
        <v>31</v>
      </c>
      <c r="B39" s="5" t="s">
        <v>86</v>
      </c>
      <c r="C39" s="6" t="s">
        <v>87</v>
      </c>
      <c r="D39" s="5" t="s">
        <v>44</v>
      </c>
      <c r="E39" s="5" t="s">
        <v>88</v>
      </c>
      <c r="F39" s="5" t="s">
        <v>89</v>
      </c>
      <c r="G39" s="5" t="s">
        <v>16</v>
      </c>
      <c r="H39" s="5"/>
    </row>
    <row r="40" customFormat="false" ht="15" hidden="false" customHeight="false" outlineLevel="0" collapsed="false">
      <c r="A40" s="5" t="n">
        <v>32</v>
      </c>
      <c r="B40" s="5" t="s">
        <v>86</v>
      </c>
      <c r="C40" s="6" t="s">
        <v>90</v>
      </c>
      <c r="D40" s="5" t="s">
        <v>13</v>
      </c>
      <c r="E40" s="5" t="s">
        <v>60</v>
      </c>
      <c r="F40" s="5" t="s">
        <v>77</v>
      </c>
      <c r="G40" s="5" t="s">
        <v>16</v>
      </c>
      <c r="H40" s="5"/>
    </row>
    <row r="41" customFormat="false" ht="15" hidden="false" customHeight="false" outlineLevel="0" collapsed="false">
      <c r="A41" s="5" t="n">
        <v>33</v>
      </c>
      <c r="B41" s="5" t="s">
        <v>86</v>
      </c>
      <c r="C41" s="6" t="s">
        <v>91</v>
      </c>
      <c r="D41" s="5" t="s">
        <v>24</v>
      </c>
      <c r="E41" s="5" t="s">
        <v>58</v>
      </c>
      <c r="F41" s="5" t="s">
        <v>77</v>
      </c>
      <c r="G41" s="5" t="s">
        <v>16</v>
      </c>
      <c r="H41" s="5"/>
    </row>
    <row r="42" customFormat="false" ht="15" hidden="false" customHeight="false" outlineLevel="0" collapsed="false">
      <c r="A42" s="5" t="n">
        <v>34</v>
      </c>
      <c r="B42" s="5" t="s">
        <v>86</v>
      </c>
      <c r="C42" s="6" t="s">
        <v>92</v>
      </c>
      <c r="D42" s="5" t="s">
        <v>13</v>
      </c>
      <c r="E42" s="5" t="s">
        <v>14</v>
      </c>
      <c r="F42" s="5" t="s">
        <v>36</v>
      </c>
      <c r="G42" s="5" t="s">
        <v>16</v>
      </c>
      <c r="H42" s="5"/>
    </row>
    <row r="43" customFormat="false" ht="15" hidden="false" customHeight="false" outlineLevel="0" collapsed="false">
      <c r="A43" s="5" t="n">
        <v>35</v>
      </c>
      <c r="B43" s="5" t="s">
        <v>86</v>
      </c>
      <c r="C43" s="6" t="s">
        <v>93</v>
      </c>
      <c r="D43" s="5" t="s">
        <v>20</v>
      </c>
      <c r="E43" s="5" t="s">
        <v>38</v>
      </c>
      <c r="F43" s="5" t="s">
        <v>61</v>
      </c>
      <c r="G43" s="5" t="s">
        <v>16</v>
      </c>
      <c r="H43" s="5"/>
    </row>
    <row r="44" customFormat="false" ht="15" hidden="false" customHeight="false" outlineLevel="0" collapsed="false">
      <c r="A44" s="5" t="n">
        <v>36</v>
      </c>
      <c r="B44" s="5" t="s">
        <v>86</v>
      </c>
      <c r="C44" s="6" t="s">
        <v>94</v>
      </c>
      <c r="D44" s="5" t="s">
        <v>44</v>
      </c>
      <c r="E44" s="5" t="s">
        <v>60</v>
      </c>
      <c r="F44" s="5" t="s">
        <v>42</v>
      </c>
      <c r="G44" s="5" t="s">
        <v>16</v>
      </c>
      <c r="H44" s="5"/>
    </row>
    <row r="45" customFormat="false" ht="15" hidden="false" customHeight="false" outlineLevel="0" collapsed="false">
      <c r="A45" s="5" t="n">
        <v>37</v>
      </c>
      <c r="B45" s="5" t="s">
        <v>86</v>
      </c>
      <c r="C45" s="6" t="s">
        <v>95</v>
      </c>
      <c r="D45" s="5" t="s">
        <v>44</v>
      </c>
      <c r="E45" s="5" t="s">
        <v>96</v>
      </c>
      <c r="F45" s="5" t="s">
        <v>42</v>
      </c>
      <c r="G45" s="5" t="s">
        <v>16</v>
      </c>
      <c r="H45" s="5"/>
    </row>
    <row r="46" customFormat="false" ht="15" hidden="false" customHeight="false" outlineLevel="0" collapsed="false">
      <c r="A46" s="5" t="n">
        <v>38</v>
      </c>
      <c r="B46" s="5" t="s">
        <v>86</v>
      </c>
      <c r="C46" s="6" t="s">
        <v>97</v>
      </c>
      <c r="D46" s="5" t="s">
        <v>44</v>
      </c>
      <c r="E46" s="5" t="s">
        <v>96</v>
      </c>
      <c r="F46" s="5" t="s">
        <v>66</v>
      </c>
      <c r="G46" s="5" t="s">
        <v>16</v>
      </c>
      <c r="H46" s="5"/>
    </row>
    <row r="47" customFormat="false" ht="15" hidden="false" customHeight="false" outlineLevel="0" collapsed="false">
      <c r="A47" s="5" t="n">
        <v>39</v>
      </c>
      <c r="B47" s="5" t="s">
        <v>86</v>
      </c>
      <c r="C47" s="6" t="s">
        <v>98</v>
      </c>
      <c r="D47" s="5" t="s">
        <v>13</v>
      </c>
      <c r="E47" s="5" t="s">
        <v>68</v>
      </c>
      <c r="F47" s="5" t="s">
        <v>69</v>
      </c>
      <c r="G47" s="5" t="s">
        <v>16</v>
      </c>
      <c r="H47" s="5"/>
    </row>
  </sheetData>
  <autoFilter ref="A4:H47"/>
  <mergeCells count="6">
    <mergeCell ref="A1:H1"/>
    <mergeCell ref="A2:H2"/>
    <mergeCell ref="A5:H5"/>
    <mergeCell ref="A17:H17"/>
    <mergeCell ref="A29:H29"/>
    <mergeCell ref="A38:H38"/>
  </mergeCells>
  <conditionalFormatting sqref="G5:G47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"En revisión"</formula>
    </cfRule>
  </conditionalFormatting>
  <dataValidations count="1">
    <dataValidation allowBlank="true" errorStyle="stop" operator="between" showDropDown="false" showErrorMessage="false" showInputMessage="false" sqref="G5:G47" type="list">
      <formula1>"Pendiente,En curso,En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0" t="s">
        <v>10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11" t="s">
        <v>2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</row>
    <row r="4" customFormat="false" ht="15" hidden="false" customHeight="false" outlineLevel="0" collapsed="false">
      <c r="A4" s="5" t="n">
        <v>1</v>
      </c>
      <c r="B4" s="6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6"/>
    </row>
    <row r="5" customFormat="false" ht="15" hidden="false" customHeight="false" outlineLevel="0" collapsed="false">
      <c r="A5" s="5" t="n">
        <v>2</v>
      </c>
      <c r="B5" s="6" t="s">
        <v>17</v>
      </c>
      <c r="C5" s="5" t="s">
        <v>13</v>
      </c>
      <c r="D5" s="5" t="s">
        <v>14</v>
      </c>
      <c r="E5" s="5" t="s">
        <v>18</v>
      </c>
      <c r="F5" s="5" t="s">
        <v>16</v>
      </c>
      <c r="G5" s="6"/>
    </row>
    <row r="6" customFormat="false" ht="15" hidden="false" customHeight="false" outlineLevel="0" collapsed="false">
      <c r="A6" s="5" t="n">
        <v>3</v>
      </c>
      <c r="B6" s="6" t="s">
        <v>19</v>
      </c>
      <c r="C6" s="5" t="s">
        <v>20</v>
      </c>
      <c r="D6" s="5" t="s">
        <v>21</v>
      </c>
      <c r="E6" s="5" t="s">
        <v>22</v>
      </c>
      <c r="F6" s="5" t="s">
        <v>16</v>
      </c>
      <c r="G6" s="6"/>
    </row>
    <row r="7" customFormat="false" ht="15" hidden="false" customHeight="false" outlineLevel="0" collapsed="false">
      <c r="A7" s="5" t="n">
        <v>4</v>
      </c>
      <c r="B7" s="6" t="s">
        <v>23</v>
      </c>
      <c r="C7" s="5" t="s">
        <v>24</v>
      </c>
      <c r="D7" s="5" t="s">
        <v>25</v>
      </c>
      <c r="E7" s="5" t="s">
        <v>22</v>
      </c>
      <c r="F7" s="5" t="s">
        <v>16</v>
      </c>
      <c r="G7" s="6"/>
    </row>
    <row r="8" customFormat="false" ht="15" hidden="false" customHeight="false" outlineLevel="0" collapsed="false">
      <c r="A8" s="5" t="n">
        <v>5</v>
      </c>
      <c r="B8" s="6" t="s">
        <v>26</v>
      </c>
      <c r="C8" s="5" t="s">
        <v>20</v>
      </c>
      <c r="D8" s="5" t="s">
        <v>27</v>
      </c>
      <c r="E8" s="5" t="s">
        <v>28</v>
      </c>
      <c r="F8" s="5" t="s">
        <v>16</v>
      </c>
      <c r="G8" s="6"/>
    </row>
    <row r="9" customFormat="false" ht="15" hidden="false" customHeight="false" outlineLevel="0" collapsed="false">
      <c r="A9" s="5" t="n">
        <v>6</v>
      </c>
      <c r="B9" s="6" t="s">
        <v>29</v>
      </c>
      <c r="C9" s="5" t="s">
        <v>24</v>
      </c>
      <c r="D9" s="5" t="s">
        <v>30</v>
      </c>
      <c r="E9" s="5" t="s">
        <v>28</v>
      </c>
      <c r="F9" s="5" t="s">
        <v>16</v>
      </c>
      <c r="G9" s="6"/>
    </row>
    <row r="10" customFormat="false" ht="15" hidden="false" customHeight="false" outlineLevel="0" collapsed="false">
      <c r="A10" s="5" t="n">
        <v>7</v>
      </c>
      <c r="B10" s="6" t="s">
        <v>31</v>
      </c>
      <c r="C10" s="5" t="s">
        <v>13</v>
      </c>
      <c r="D10" s="5" t="s">
        <v>32</v>
      </c>
      <c r="E10" s="5" t="s">
        <v>33</v>
      </c>
      <c r="F10" s="5" t="s">
        <v>16</v>
      </c>
      <c r="G10" s="6"/>
    </row>
    <row r="11" customFormat="false" ht="15" hidden="false" customHeight="false" outlineLevel="0" collapsed="false">
      <c r="A11" s="5" t="n">
        <v>8</v>
      </c>
      <c r="B11" s="6" t="s">
        <v>34</v>
      </c>
      <c r="C11" s="5" t="s">
        <v>13</v>
      </c>
      <c r="D11" s="5" t="s">
        <v>35</v>
      </c>
      <c r="E11" s="5" t="s">
        <v>36</v>
      </c>
      <c r="F11" s="5" t="s">
        <v>16</v>
      </c>
      <c r="G11" s="6"/>
    </row>
    <row r="12" customFormat="false" ht="15" hidden="false" customHeight="false" outlineLevel="0" collapsed="false">
      <c r="A12" s="5" t="n">
        <v>9</v>
      </c>
      <c r="B12" s="6" t="s">
        <v>37</v>
      </c>
      <c r="C12" s="5" t="s">
        <v>20</v>
      </c>
      <c r="D12" s="5" t="s">
        <v>38</v>
      </c>
      <c r="E12" s="5" t="s">
        <v>39</v>
      </c>
      <c r="F12" s="5" t="s">
        <v>16</v>
      </c>
      <c r="G12" s="6"/>
    </row>
    <row r="13" customFormat="false" ht="15" hidden="false" customHeight="false" outlineLevel="0" collapsed="false">
      <c r="A13" s="5" t="n">
        <v>10</v>
      </c>
      <c r="B13" s="6" t="s">
        <v>40</v>
      </c>
      <c r="C13" s="5" t="s">
        <v>41</v>
      </c>
      <c r="D13" s="5" t="s">
        <v>38</v>
      </c>
      <c r="E13" s="5" t="s">
        <v>42</v>
      </c>
      <c r="F13" s="5" t="s">
        <v>16</v>
      </c>
      <c r="G13" s="6"/>
    </row>
    <row r="14" customFormat="false" ht="15" hidden="false" customHeight="false" outlineLevel="0" collapsed="false">
      <c r="A14" s="5" t="n">
        <v>11</v>
      </c>
      <c r="B14" s="6" t="s">
        <v>43</v>
      </c>
      <c r="C14" s="5" t="s">
        <v>44</v>
      </c>
      <c r="D14" s="5" t="s">
        <v>38</v>
      </c>
      <c r="E14" s="5" t="s">
        <v>45</v>
      </c>
      <c r="F14" s="5" t="s">
        <v>16</v>
      </c>
      <c r="G14" s="6"/>
    </row>
    <row r="16" customFormat="false" ht="15" hidden="false" customHeight="false" outlineLevel="0" collapsed="false">
      <c r="B16" s="12" t="s">
        <v>99</v>
      </c>
      <c r="C16" s="13" t="n">
        <f aca="false">COUNTIF(F4:F14,"Hecho")/COUNTA(A4:A14)</f>
        <v>0</v>
      </c>
    </row>
  </sheetData>
  <mergeCells count="1">
    <mergeCell ref="A1:G1"/>
  </mergeCells>
  <conditionalFormatting sqref="F4:F14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"En revisión"</formula>
    </cfRule>
  </conditionalFormatting>
  <dataValidations count="1">
    <dataValidation allowBlank="true" errorStyle="stop" operator="between" showDropDown="false" showErrorMessage="false" showInputMessage="false" sqref="F4:F14" type="list">
      <formula1>"Pendiente,En curso,En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4" t="s">
        <v>46</v>
      </c>
      <c r="B1" s="14"/>
      <c r="C1" s="14"/>
      <c r="D1" s="14"/>
      <c r="E1" s="14"/>
      <c r="F1" s="14"/>
      <c r="G1" s="14"/>
    </row>
    <row r="3" customFormat="false" ht="15" hidden="false" customHeight="false" outlineLevel="0" collapsed="false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</row>
    <row r="4" customFormat="false" ht="15" hidden="false" customHeight="false" outlineLevel="0" collapsed="false">
      <c r="A4" s="5" t="n">
        <v>12</v>
      </c>
      <c r="B4" s="6" t="s">
        <v>48</v>
      </c>
      <c r="C4" s="5" t="s">
        <v>13</v>
      </c>
      <c r="D4" s="5" t="s">
        <v>49</v>
      </c>
      <c r="E4" s="5" t="s">
        <v>18</v>
      </c>
      <c r="F4" s="5" t="s">
        <v>16</v>
      </c>
      <c r="G4" s="6"/>
    </row>
    <row r="5" customFormat="false" ht="15" hidden="false" customHeight="false" outlineLevel="0" collapsed="false">
      <c r="A5" s="5" t="n">
        <v>13</v>
      </c>
      <c r="B5" s="6" t="s">
        <v>50</v>
      </c>
      <c r="C5" s="5" t="s">
        <v>13</v>
      </c>
      <c r="D5" s="5" t="s">
        <v>32</v>
      </c>
      <c r="E5" s="5" t="s">
        <v>18</v>
      </c>
      <c r="F5" s="5" t="s">
        <v>16</v>
      </c>
      <c r="G5" s="6"/>
    </row>
    <row r="6" customFormat="false" ht="15" hidden="false" customHeight="false" outlineLevel="0" collapsed="false">
      <c r="A6" s="5" t="n">
        <v>14</v>
      </c>
      <c r="B6" s="6" t="s">
        <v>51</v>
      </c>
      <c r="C6" s="5" t="s">
        <v>20</v>
      </c>
      <c r="D6" s="5" t="s">
        <v>52</v>
      </c>
      <c r="E6" s="5" t="s">
        <v>22</v>
      </c>
      <c r="F6" s="5" t="s">
        <v>16</v>
      </c>
      <c r="G6" s="6"/>
    </row>
    <row r="7" customFormat="false" ht="15" hidden="false" customHeight="false" outlineLevel="0" collapsed="false">
      <c r="A7" s="5" t="n">
        <v>15</v>
      </c>
      <c r="B7" s="6" t="s">
        <v>53</v>
      </c>
      <c r="C7" s="5" t="s">
        <v>20</v>
      </c>
      <c r="D7" s="5" t="s">
        <v>52</v>
      </c>
      <c r="E7" s="5" t="s">
        <v>33</v>
      </c>
      <c r="F7" s="5" t="s">
        <v>16</v>
      </c>
      <c r="G7" s="6"/>
    </row>
    <row r="8" customFormat="false" ht="15" hidden="false" customHeight="false" outlineLevel="0" collapsed="false">
      <c r="A8" s="5" t="n">
        <v>16</v>
      </c>
      <c r="B8" s="6" t="s">
        <v>54</v>
      </c>
      <c r="C8" s="5" t="s">
        <v>24</v>
      </c>
      <c r="D8" s="5" t="s">
        <v>30</v>
      </c>
      <c r="E8" s="5" t="s">
        <v>33</v>
      </c>
      <c r="F8" s="5" t="s">
        <v>16</v>
      </c>
      <c r="G8" s="6"/>
    </row>
    <row r="9" customFormat="false" ht="15" hidden="false" customHeight="false" outlineLevel="0" collapsed="false">
      <c r="A9" s="5" t="n">
        <v>17</v>
      </c>
      <c r="B9" s="6" t="s">
        <v>55</v>
      </c>
      <c r="C9" s="5" t="s">
        <v>24</v>
      </c>
      <c r="D9" s="5" t="s">
        <v>56</v>
      </c>
      <c r="E9" s="5" t="s">
        <v>39</v>
      </c>
      <c r="F9" s="5" t="s">
        <v>16</v>
      </c>
      <c r="G9" s="6"/>
    </row>
    <row r="10" customFormat="false" ht="15" hidden="false" customHeight="false" outlineLevel="0" collapsed="false">
      <c r="A10" s="5" t="n">
        <v>18</v>
      </c>
      <c r="B10" s="6" t="s">
        <v>57</v>
      </c>
      <c r="C10" s="5" t="s">
        <v>24</v>
      </c>
      <c r="D10" s="5" t="s">
        <v>58</v>
      </c>
      <c r="E10" s="5" t="s">
        <v>39</v>
      </c>
      <c r="F10" s="5" t="s">
        <v>16</v>
      </c>
      <c r="G10" s="6"/>
    </row>
    <row r="11" customFormat="false" ht="15" hidden="false" customHeight="false" outlineLevel="0" collapsed="false">
      <c r="A11" s="5" t="n">
        <v>19</v>
      </c>
      <c r="B11" s="6" t="s">
        <v>59</v>
      </c>
      <c r="C11" s="5" t="s">
        <v>13</v>
      </c>
      <c r="D11" s="5" t="s">
        <v>60</v>
      </c>
      <c r="E11" s="5" t="s">
        <v>61</v>
      </c>
      <c r="F11" s="5" t="s">
        <v>16</v>
      </c>
      <c r="G11" s="6"/>
    </row>
    <row r="12" customFormat="false" ht="15" hidden="false" customHeight="false" outlineLevel="0" collapsed="false">
      <c r="A12" s="5" t="n">
        <v>20</v>
      </c>
      <c r="B12" s="6" t="s">
        <v>62</v>
      </c>
      <c r="C12" s="5" t="s">
        <v>44</v>
      </c>
      <c r="D12" s="5" t="s">
        <v>63</v>
      </c>
      <c r="E12" s="5" t="s">
        <v>64</v>
      </c>
      <c r="F12" s="5" t="s">
        <v>16</v>
      </c>
      <c r="G12" s="6"/>
    </row>
    <row r="13" customFormat="false" ht="15" hidden="false" customHeight="false" outlineLevel="0" collapsed="false">
      <c r="A13" s="5" t="n">
        <v>21</v>
      </c>
      <c r="B13" s="6" t="s">
        <v>65</v>
      </c>
      <c r="C13" s="5" t="s">
        <v>44</v>
      </c>
      <c r="D13" s="5" t="s">
        <v>38</v>
      </c>
      <c r="E13" s="5" t="s">
        <v>66</v>
      </c>
      <c r="F13" s="5" t="s">
        <v>16</v>
      </c>
      <c r="G13" s="6"/>
    </row>
    <row r="14" customFormat="false" ht="15" hidden="false" customHeight="false" outlineLevel="0" collapsed="false">
      <c r="A14" s="5" t="n">
        <v>22</v>
      </c>
      <c r="B14" s="6" t="s">
        <v>67</v>
      </c>
      <c r="C14" s="5" t="s">
        <v>44</v>
      </c>
      <c r="D14" s="5" t="s">
        <v>68</v>
      </c>
      <c r="E14" s="5" t="s">
        <v>69</v>
      </c>
      <c r="F14" s="5" t="s">
        <v>16</v>
      </c>
      <c r="G14" s="6"/>
    </row>
    <row r="16" customFormat="false" ht="15" hidden="false" customHeight="false" outlineLevel="0" collapsed="false">
      <c r="B16" s="12" t="s">
        <v>99</v>
      </c>
      <c r="C16" s="13" t="n">
        <f aca="false">COUNTIF(F4:F14,"Hecho")/COUNTA(A4:A14)</f>
        <v>0</v>
      </c>
    </row>
  </sheetData>
  <mergeCells count="1">
    <mergeCell ref="A1:G1"/>
  </mergeCells>
  <conditionalFormatting sqref="F4:F14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"En revisión"</formula>
    </cfRule>
  </conditionalFormatting>
  <dataValidations count="1">
    <dataValidation allowBlank="true" errorStyle="stop" operator="between" showDropDown="false" showErrorMessage="false" showInputMessage="false" sqref="F4:F14" type="list">
      <formula1>"Pendiente,En curso,En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6" t="s">
        <v>70</v>
      </c>
      <c r="B1" s="16"/>
      <c r="C1" s="16"/>
      <c r="D1" s="16"/>
      <c r="E1" s="16"/>
      <c r="F1" s="16"/>
      <c r="G1" s="16"/>
    </row>
    <row r="3" customFormat="false" ht="15" hidden="false" customHeight="false" outlineLevel="0" collapsed="false">
      <c r="A3" s="17" t="s">
        <v>2</v>
      </c>
      <c r="B3" s="17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</row>
    <row r="4" customFormat="false" ht="15" hidden="false" customHeight="false" outlineLevel="0" collapsed="false">
      <c r="A4" s="5" t="n">
        <v>23</v>
      </c>
      <c r="B4" s="6" t="s">
        <v>72</v>
      </c>
      <c r="C4" s="5" t="s">
        <v>13</v>
      </c>
      <c r="D4" s="5" t="s">
        <v>73</v>
      </c>
      <c r="E4" s="5" t="s">
        <v>18</v>
      </c>
      <c r="F4" s="5" t="s">
        <v>16</v>
      </c>
      <c r="G4" s="6"/>
    </row>
    <row r="5" customFormat="false" ht="15" hidden="false" customHeight="false" outlineLevel="0" collapsed="false">
      <c r="A5" s="5" t="n">
        <v>24</v>
      </c>
      <c r="B5" s="6" t="s">
        <v>74</v>
      </c>
      <c r="C5" s="5" t="s">
        <v>20</v>
      </c>
      <c r="D5" s="5" t="s">
        <v>73</v>
      </c>
      <c r="E5" s="5" t="s">
        <v>22</v>
      </c>
      <c r="F5" s="5" t="s">
        <v>16</v>
      </c>
      <c r="G5" s="6"/>
    </row>
    <row r="6" customFormat="false" ht="15" hidden="false" customHeight="false" outlineLevel="0" collapsed="false">
      <c r="A6" s="5" t="n">
        <v>25</v>
      </c>
      <c r="B6" s="6" t="s">
        <v>75</v>
      </c>
      <c r="C6" s="5" t="s">
        <v>24</v>
      </c>
      <c r="D6" s="5" t="s">
        <v>76</v>
      </c>
      <c r="E6" s="5" t="s">
        <v>77</v>
      </c>
      <c r="F6" s="5" t="s">
        <v>16</v>
      </c>
      <c r="G6" s="6"/>
    </row>
    <row r="7" customFormat="false" ht="15" hidden="false" customHeight="false" outlineLevel="0" collapsed="false">
      <c r="A7" s="5" t="n">
        <v>26</v>
      </c>
      <c r="B7" s="6" t="s">
        <v>78</v>
      </c>
      <c r="C7" s="5" t="s">
        <v>20</v>
      </c>
      <c r="D7" s="5" t="s">
        <v>27</v>
      </c>
      <c r="E7" s="5" t="s">
        <v>33</v>
      </c>
      <c r="F7" s="5" t="s">
        <v>16</v>
      </c>
      <c r="G7" s="6"/>
    </row>
    <row r="8" customFormat="false" ht="15" hidden="false" customHeight="false" outlineLevel="0" collapsed="false">
      <c r="A8" s="5" t="n">
        <v>27</v>
      </c>
      <c r="B8" s="6" t="s">
        <v>79</v>
      </c>
      <c r="C8" s="5" t="s">
        <v>80</v>
      </c>
      <c r="D8" s="5" t="s">
        <v>81</v>
      </c>
      <c r="E8" s="5" t="s">
        <v>39</v>
      </c>
      <c r="F8" s="5" t="s">
        <v>16</v>
      </c>
      <c r="G8" s="6"/>
    </row>
    <row r="9" customFormat="false" ht="15" hidden="false" customHeight="false" outlineLevel="0" collapsed="false">
      <c r="A9" s="5" t="n">
        <v>28</v>
      </c>
      <c r="B9" s="6" t="s">
        <v>82</v>
      </c>
      <c r="C9" s="5" t="s">
        <v>13</v>
      </c>
      <c r="D9" s="5" t="s">
        <v>60</v>
      </c>
      <c r="E9" s="5" t="s">
        <v>39</v>
      </c>
      <c r="F9" s="5" t="s">
        <v>16</v>
      </c>
      <c r="G9" s="6"/>
    </row>
    <row r="10" customFormat="false" ht="15" hidden="false" customHeight="false" outlineLevel="0" collapsed="false">
      <c r="A10" s="5" t="n">
        <v>29</v>
      </c>
      <c r="B10" s="6" t="s">
        <v>83</v>
      </c>
      <c r="C10" s="5" t="s">
        <v>44</v>
      </c>
      <c r="D10" s="5" t="s">
        <v>38</v>
      </c>
      <c r="E10" s="5" t="s">
        <v>66</v>
      </c>
      <c r="F10" s="5" t="s">
        <v>16</v>
      </c>
      <c r="G10" s="6"/>
    </row>
    <row r="11" customFormat="false" ht="15" hidden="false" customHeight="false" outlineLevel="0" collapsed="false">
      <c r="A11" s="5" t="n">
        <v>30</v>
      </c>
      <c r="B11" s="6" t="s">
        <v>84</v>
      </c>
      <c r="C11" s="5" t="s">
        <v>44</v>
      </c>
      <c r="D11" s="5" t="s">
        <v>68</v>
      </c>
      <c r="E11" s="5" t="s">
        <v>69</v>
      </c>
      <c r="F11" s="5" t="s">
        <v>16</v>
      </c>
      <c r="G11" s="6"/>
    </row>
    <row r="13" customFormat="false" ht="15" hidden="false" customHeight="false" outlineLevel="0" collapsed="false">
      <c r="B13" s="12" t="s">
        <v>99</v>
      </c>
      <c r="C13" s="13" t="n">
        <f aca="false">COUNTIF(F4:F11,"Hecho")/COUNTA(A4:A11)</f>
        <v>0</v>
      </c>
    </row>
  </sheetData>
  <mergeCells count="1">
    <mergeCell ref="A1:G1"/>
  </mergeCells>
  <conditionalFormatting sqref="F4:F11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"En revisión"</formula>
    </cfRule>
  </conditionalFormatting>
  <dataValidations count="1">
    <dataValidation allowBlank="true" errorStyle="stop" operator="between" showDropDown="false" showErrorMessage="false" showInputMessage="false" sqref="F4:F11" type="list">
      <formula1>"Pendiente,En curso,En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8" t="s">
        <v>85</v>
      </c>
      <c r="B1" s="18"/>
      <c r="C1" s="18"/>
      <c r="D1" s="18"/>
      <c r="E1" s="18"/>
      <c r="F1" s="18"/>
      <c r="G1" s="18"/>
    </row>
    <row r="3" customFormat="false" ht="15" hidden="false" customHeight="false" outlineLevel="0" collapsed="false">
      <c r="A3" s="19" t="s">
        <v>2</v>
      </c>
      <c r="B3" s="19" t="s">
        <v>4</v>
      </c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</row>
    <row r="4" customFormat="false" ht="23.85" hidden="false" customHeight="false" outlineLevel="0" collapsed="false">
      <c r="A4" s="5" t="n">
        <v>31</v>
      </c>
      <c r="B4" s="6" t="s">
        <v>87</v>
      </c>
      <c r="C4" s="5" t="s">
        <v>44</v>
      </c>
      <c r="D4" s="5" t="s">
        <v>88</v>
      </c>
      <c r="E4" s="5" t="s">
        <v>89</v>
      </c>
      <c r="F4" s="5" t="s">
        <v>16</v>
      </c>
      <c r="G4" s="6"/>
    </row>
    <row r="5" customFormat="false" ht="15" hidden="false" customHeight="false" outlineLevel="0" collapsed="false">
      <c r="A5" s="5" t="n">
        <v>32</v>
      </c>
      <c r="B5" s="6" t="s">
        <v>90</v>
      </c>
      <c r="C5" s="5" t="s">
        <v>13</v>
      </c>
      <c r="D5" s="5" t="s">
        <v>60</v>
      </c>
      <c r="E5" s="5" t="s">
        <v>77</v>
      </c>
      <c r="F5" s="5" t="s">
        <v>16</v>
      </c>
      <c r="G5" s="6"/>
    </row>
    <row r="6" customFormat="false" ht="15" hidden="false" customHeight="false" outlineLevel="0" collapsed="false">
      <c r="A6" s="5" t="n">
        <v>33</v>
      </c>
      <c r="B6" s="6" t="s">
        <v>91</v>
      </c>
      <c r="C6" s="5" t="s">
        <v>24</v>
      </c>
      <c r="D6" s="5" t="s">
        <v>58</v>
      </c>
      <c r="E6" s="5" t="s">
        <v>77</v>
      </c>
      <c r="F6" s="5" t="s">
        <v>16</v>
      </c>
      <c r="G6" s="6"/>
    </row>
    <row r="7" customFormat="false" ht="15" hidden="false" customHeight="false" outlineLevel="0" collapsed="false">
      <c r="A7" s="5" t="n">
        <v>34</v>
      </c>
      <c r="B7" s="6" t="s">
        <v>92</v>
      </c>
      <c r="C7" s="5" t="s">
        <v>13</v>
      </c>
      <c r="D7" s="5" t="s">
        <v>14</v>
      </c>
      <c r="E7" s="5" t="s">
        <v>36</v>
      </c>
      <c r="F7" s="5" t="s">
        <v>16</v>
      </c>
      <c r="G7" s="6"/>
    </row>
    <row r="8" customFormat="false" ht="15" hidden="false" customHeight="false" outlineLevel="0" collapsed="false">
      <c r="A8" s="5" t="n">
        <v>35</v>
      </c>
      <c r="B8" s="6" t="s">
        <v>93</v>
      </c>
      <c r="C8" s="5" t="s">
        <v>20</v>
      </c>
      <c r="D8" s="5" t="s">
        <v>38</v>
      </c>
      <c r="E8" s="5" t="s">
        <v>61</v>
      </c>
      <c r="F8" s="5" t="s">
        <v>16</v>
      </c>
      <c r="G8" s="6"/>
    </row>
    <row r="9" customFormat="false" ht="15" hidden="false" customHeight="false" outlineLevel="0" collapsed="false">
      <c r="A9" s="5" t="n">
        <v>36</v>
      </c>
      <c r="B9" s="6" t="s">
        <v>94</v>
      </c>
      <c r="C9" s="5" t="s">
        <v>44</v>
      </c>
      <c r="D9" s="5" t="s">
        <v>60</v>
      </c>
      <c r="E9" s="5" t="s">
        <v>42</v>
      </c>
      <c r="F9" s="5" t="s">
        <v>16</v>
      </c>
      <c r="G9" s="6"/>
    </row>
    <row r="10" customFormat="false" ht="15" hidden="false" customHeight="false" outlineLevel="0" collapsed="false">
      <c r="A10" s="5" t="n">
        <v>37</v>
      </c>
      <c r="B10" s="6" t="s">
        <v>95</v>
      </c>
      <c r="C10" s="5" t="s">
        <v>44</v>
      </c>
      <c r="D10" s="5" t="s">
        <v>96</v>
      </c>
      <c r="E10" s="5" t="s">
        <v>42</v>
      </c>
      <c r="F10" s="5" t="s">
        <v>16</v>
      </c>
      <c r="G10" s="6"/>
    </row>
    <row r="11" customFormat="false" ht="15" hidden="false" customHeight="false" outlineLevel="0" collapsed="false">
      <c r="A11" s="5" t="n">
        <v>38</v>
      </c>
      <c r="B11" s="6" t="s">
        <v>97</v>
      </c>
      <c r="C11" s="5" t="s">
        <v>44</v>
      </c>
      <c r="D11" s="5" t="s">
        <v>96</v>
      </c>
      <c r="E11" s="5" t="s">
        <v>66</v>
      </c>
      <c r="F11" s="5" t="s">
        <v>16</v>
      </c>
      <c r="G11" s="6"/>
    </row>
    <row r="12" customFormat="false" ht="15" hidden="false" customHeight="false" outlineLevel="0" collapsed="false">
      <c r="A12" s="5" t="n">
        <v>39</v>
      </c>
      <c r="B12" s="6" t="s">
        <v>98</v>
      </c>
      <c r="C12" s="5" t="s">
        <v>13</v>
      </c>
      <c r="D12" s="5" t="s">
        <v>68</v>
      </c>
      <c r="E12" s="5" t="s">
        <v>69</v>
      </c>
      <c r="F12" s="5" t="s">
        <v>16</v>
      </c>
      <c r="G12" s="6"/>
    </row>
    <row r="14" customFormat="false" ht="15" hidden="false" customHeight="false" outlineLevel="0" collapsed="false">
      <c r="B14" s="12" t="s">
        <v>99</v>
      </c>
      <c r="C14" s="13" t="n">
        <f aca="false">COUNTIF(F4:F12,"Hecho")/COUNTA(A4:A12)</f>
        <v>0</v>
      </c>
    </row>
  </sheetData>
  <mergeCells count="1">
    <mergeCell ref="A1:G1"/>
  </mergeCells>
  <conditionalFormatting sqref="F4:F12">
    <cfRule type="cellIs" priority="2" operator="equal" aboveAverage="0" equalAverage="0" bottom="0" percent="0" rank="0" text="" dxfId="8">
      <formula>"Hecho"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"En revisión"</formula>
    </cfRule>
  </conditionalFormatting>
  <dataValidations count="1">
    <dataValidation allowBlank="true" errorStyle="stop" operator="between" showDropDown="false" showErrorMessage="false" showInputMessage="false" sqref="F4:F12" type="list">
      <formula1>"Pendiente,En curso,En revisión,Hecho"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1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3</v>
      </c>
      <c r="B3" s="3" t="s">
        <v>101</v>
      </c>
      <c r="C3" s="3" t="s">
        <v>102</v>
      </c>
      <c r="D3" s="3" t="s">
        <v>103</v>
      </c>
      <c r="E3" s="3" t="s">
        <v>13</v>
      </c>
      <c r="F3" s="3" t="s">
        <v>20</v>
      </c>
      <c r="G3" s="3" t="s">
        <v>24</v>
      </c>
      <c r="H3" s="3" t="s">
        <v>44</v>
      </c>
    </row>
    <row r="4" customFormat="false" ht="15" hidden="false" customHeight="false" outlineLevel="0" collapsed="false">
      <c r="A4" s="5" t="s">
        <v>11</v>
      </c>
      <c r="B4" s="5" t="n">
        <f aca="false">COUNTIF('Cronograma maestro'!$B$5:$B$47,A4)</f>
        <v>11</v>
      </c>
      <c r="C4" s="5" t="n">
        <f aca="false">COUNTIFS('Cronograma maestro'!$B$5:$B$47,A4,'Cronograma maestro'!$G$5:$G$47,"Hecho")</f>
        <v>0</v>
      </c>
      <c r="D4" s="20" t="n">
        <f aca="false">IF(B4=0,0,C4/B4)</f>
        <v>0</v>
      </c>
      <c r="E4" s="5" t="n">
        <f aca="false">COUNTIFS('Cronograma maestro'!$B$5:$B$47,$A4,'Cronograma maestro'!$D$5:$D$47,"*A*")</f>
        <v>5</v>
      </c>
      <c r="F4" s="5" t="n">
        <f aca="false">COUNTIFS('Cronograma maestro'!$B$5:$B$47,$A4,'Cronograma maestro'!$D$5:$D$47,"*B*")</f>
        <v>3</v>
      </c>
      <c r="G4" s="5" t="n">
        <f aca="false">COUNTIFS('Cronograma maestro'!$B$5:$B$47,$A4,'Cronograma maestro'!$D$5:$D$47,"*C*")</f>
        <v>3</v>
      </c>
      <c r="H4" s="5" t="n">
        <f aca="false">COUNTIFS('Cronograma maestro'!$B$5:$B$47,$A4,'Cronograma maestro'!$D$5:$D$47,"Todos")</f>
        <v>1</v>
      </c>
    </row>
    <row r="5" customFormat="false" ht="15" hidden="false" customHeight="false" outlineLevel="0" collapsed="false">
      <c r="A5" s="5" t="s">
        <v>47</v>
      </c>
      <c r="B5" s="5" t="n">
        <f aca="false">COUNTIF('Cronograma maestro'!$B$5:$B$47,A5)</f>
        <v>11</v>
      </c>
      <c r="C5" s="5" t="n">
        <f aca="false">COUNTIFS('Cronograma maestro'!$B$5:$B$47,A5,'Cronograma maestro'!$G$5:$G$47,"Hecho")</f>
        <v>0</v>
      </c>
      <c r="D5" s="20" t="n">
        <f aca="false">IF(B5=0,0,C5/B5)</f>
        <v>0</v>
      </c>
      <c r="E5" s="5" t="n">
        <f aca="false">COUNTIFS('Cronograma maestro'!$B$5:$B$47,$A5,'Cronograma maestro'!$D$5:$D$47,"*A*")</f>
        <v>3</v>
      </c>
      <c r="F5" s="5" t="n">
        <f aca="false">COUNTIFS('Cronograma maestro'!$B$5:$B$47,$A5,'Cronograma maestro'!$D$5:$D$47,"*B*")</f>
        <v>2</v>
      </c>
      <c r="G5" s="5" t="n">
        <f aca="false">COUNTIFS('Cronograma maestro'!$B$5:$B$47,$A5,'Cronograma maestro'!$D$5:$D$47,"*C*")</f>
        <v>3</v>
      </c>
      <c r="H5" s="5" t="n">
        <f aca="false">COUNTIFS('Cronograma maestro'!$B$5:$B$47,$A5,'Cronograma maestro'!$D$5:$D$47,"Todos")</f>
        <v>3</v>
      </c>
    </row>
    <row r="6" customFormat="false" ht="15" hidden="false" customHeight="false" outlineLevel="0" collapsed="false">
      <c r="A6" s="5" t="s">
        <v>71</v>
      </c>
      <c r="B6" s="5" t="n">
        <f aca="false">COUNTIF('Cronograma maestro'!$B$5:$B$47,A6)</f>
        <v>8</v>
      </c>
      <c r="C6" s="5" t="n">
        <f aca="false">COUNTIFS('Cronograma maestro'!$B$5:$B$47,A6,'Cronograma maestro'!$G$5:$G$47,"Hecho")</f>
        <v>0</v>
      </c>
      <c r="D6" s="20" t="n">
        <f aca="false">IF(B6=0,0,C6/B6)</f>
        <v>0</v>
      </c>
      <c r="E6" s="5" t="n">
        <f aca="false">COUNTIFS('Cronograma maestro'!$B$5:$B$47,$A6,'Cronograma maestro'!$D$5:$D$47,"*A*")</f>
        <v>2</v>
      </c>
      <c r="F6" s="5" t="n">
        <f aca="false">COUNTIFS('Cronograma maestro'!$B$5:$B$47,$A6,'Cronograma maestro'!$D$5:$D$47,"*B*")</f>
        <v>3</v>
      </c>
      <c r="G6" s="5" t="n">
        <f aca="false">COUNTIFS('Cronograma maestro'!$B$5:$B$47,$A6,'Cronograma maestro'!$D$5:$D$47,"*C*")</f>
        <v>2</v>
      </c>
      <c r="H6" s="5" t="n">
        <f aca="false">COUNTIFS('Cronograma maestro'!$B$5:$B$47,$A6,'Cronograma maestro'!$D$5:$D$47,"Todos")</f>
        <v>2</v>
      </c>
    </row>
    <row r="7" customFormat="false" ht="15" hidden="false" customHeight="false" outlineLevel="0" collapsed="false">
      <c r="A7" s="5" t="s">
        <v>86</v>
      </c>
      <c r="B7" s="5" t="n">
        <f aca="false">COUNTIF('Cronograma maestro'!$B$5:$B$47,A7)</f>
        <v>9</v>
      </c>
      <c r="C7" s="5" t="n">
        <f aca="false">COUNTIFS('Cronograma maestro'!$B$5:$B$47,A7,'Cronograma maestro'!$G$5:$G$47,"Hecho")</f>
        <v>0</v>
      </c>
      <c r="D7" s="20" t="n">
        <f aca="false">IF(B7=0,0,C7/B7)</f>
        <v>0</v>
      </c>
      <c r="E7" s="5" t="n">
        <f aca="false">COUNTIFS('Cronograma maestro'!$B$5:$B$47,$A7,'Cronograma maestro'!$D$5:$D$47,"*A*")</f>
        <v>3</v>
      </c>
      <c r="F7" s="5" t="n">
        <f aca="false">COUNTIFS('Cronograma maestro'!$B$5:$B$47,$A7,'Cronograma maestro'!$D$5:$D$47,"*B*")</f>
        <v>1</v>
      </c>
      <c r="G7" s="5" t="n">
        <f aca="false">COUNTIFS('Cronograma maestro'!$B$5:$B$47,$A7,'Cronograma maestro'!$D$5:$D$47,"*C*")</f>
        <v>1</v>
      </c>
      <c r="H7" s="5" t="n">
        <f aca="false">COUNTIFS('Cronograma maestro'!$B$5:$B$47,$A7,'Cronograma maestro'!$D$5:$D$47,"Todos")</f>
        <v>4</v>
      </c>
    </row>
    <row r="8" customFormat="false" ht="15" hidden="false" customHeight="false" outlineLevel="0" collapsed="false">
      <c r="A8" s="21" t="s">
        <v>101</v>
      </c>
      <c r="B8" s="21" t="n">
        <f aca="false">SUM(B4:B7)</f>
        <v>39</v>
      </c>
      <c r="C8" s="21" t="n">
        <f aca="false">SUM(C4:C7)</f>
        <v>0</v>
      </c>
      <c r="D8" s="22" t="n">
        <f aca="false">IF(B8=0,0,C8/B8)</f>
        <v>0</v>
      </c>
      <c r="E8" s="21" t="n">
        <f aca="false">SUM(E4:E7)</f>
        <v>13</v>
      </c>
      <c r="F8" s="21" t="n">
        <f aca="false">SUM(F4:F7)</f>
        <v>9</v>
      </c>
      <c r="G8" s="21" t="n">
        <f aca="false">SUM(G4:G7)</f>
        <v>9</v>
      </c>
      <c r="H8" s="21" t="n">
        <f aca="false">SUM(H4:H7)</f>
        <v>10</v>
      </c>
    </row>
    <row r="10" customFormat="false" ht="15" hidden="false" customHeight="false" outlineLevel="0" collapsed="false">
      <c r="A10" s="23" t="s">
        <v>104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2026-10-23T03:05:14Z</dcterms:created>
  <dc:creator>openpyxl</dc:creator>
  <dc:description/>
  <dc:language>en-US</dc:language>
  <cp:lastModifiedBy/>
  <dcterms:modified xsi:type="dcterms:W3CDTF">2026-10-23T03:05:15Z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